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98" documentId="8_{DF5F89BF-577D-4A26-BB10-F14BDDBCF09A}" xr6:coauthVersionLast="47" xr6:coauthVersionMax="47" xr10:uidLastSave="{3F7CBD56-F733-4923-AE34-731F8AC492B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1" l="1"/>
  <c r="D43" i="1"/>
</calcChain>
</file>

<file path=xl/sharedStrings.xml><?xml version="1.0" encoding="utf-8"?>
<sst xmlns="http://schemas.openxmlformats.org/spreadsheetml/2006/main" count="95" uniqueCount="66">
  <si>
    <t>DELIVERY NOTE</t>
  </si>
  <si>
    <t>DATE</t>
  </si>
  <si>
    <t>SHIP TO:</t>
  </si>
  <si>
    <t xml:space="preserve">ATTN: </t>
  </si>
  <si>
    <t xml:space="preserve">TEL: </t>
  </si>
  <si>
    <t>Description</t>
  </si>
  <si>
    <t>QTY</t>
  </si>
  <si>
    <t>SERIAL NO</t>
  </si>
  <si>
    <t xml:space="preserve">RECEIVED IN GOOD ORDER AND CONDITION </t>
  </si>
  <si>
    <t>NAME</t>
  </si>
  <si>
    <t xml:space="preserve">DATE </t>
  </si>
  <si>
    <t xml:space="preserve">Signature </t>
  </si>
  <si>
    <t>Company Stamp</t>
  </si>
  <si>
    <t>#</t>
  </si>
  <si>
    <t>SKU</t>
  </si>
  <si>
    <t>نتورك ديستريبيوترز منطقة حرة - ذ.م.م</t>
  </si>
  <si>
    <t>Network Distributors FZ LLC.</t>
  </si>
  <si>
    <t>Office # 3502-3507, 35th Floor, Shatha Tower</t>
  </si>
  <si>
    <t>Dubai Media City,</t>
  </si>
  <si>
    <t>Dubai,,U.A.E.</t>
  </si>
  <si>
    <t>Phone : +971 4 3757612 Fax :+971 4 4380497</t>
  </si>
  <si>
    <t>TRN : 100375068200003</t>
  </si>
  <si>
    <t>NOTE: "NO REEXPORT/RESALE/TRANSFER TO A DIFFERENT END USER"</t>
  </si>
  <si>
    <t>TOTAL</t>
  </si>
  <si>
    <t>xxxnothing followsxxx</t>
  </si>
  <si>
    <t>Address:</t>
  </si>
  <si>
    <t>End User</t>
  </si>
  <si>
    <t>EXN Ref</t>
  </si>
  <si>
    <t>Customer PO</t>
  </si>
  <si>
    <t>Mohammed Panchili</t>
  </si>
  <si>
    <t>6004 0472</t>
  </si>
  <si>
    <t>The Eighteenth Tower Lusail</t>
  </si>
  <si>
    <t>20th floor -PIH IT</t>
  </si>
  <si>
    <t>Lusail City, Qatar</t>
  </si>
  <si>
    <t>Power Mind Technologies Incorporation</t>
  </si>
  <si>
    <t>SO154625</t>
  </si>
  <si>
    <t>4500398929</t>
  </si>
  <si>
    <t>The View Hospital</t>
  </si>
  <si>
    <t>NX-3155-G9-6542Y-CM</t>
  </si>
  <si>
    <t>NX-3155-G9, 1 Node; 2x Intel
Xeon-Gold 6542Y processor (2.9
GHz/ 24-core/ 250W,Emerald
Rapids) per node</t>
  </si>
  <si>
    <t>C-MEM-64GB-5600-CM</t>
  </si>
  <si>
    <t>64GB Memory Module (5600MHz DDR5 RDM)</t>
  </si>
  <si>
    <t>C-NVM-7.68TB-B-CM</t>
  </si>
  <si>
    <t>7.68 TB NVMe SSD</t>
  </si>
  <si>
    <t>C-LOM-10G2D1BT-CM</t>
  </si>
  <si>
    <t>LOM Module: Broadcom 10GbE,
2-port, Base-T NIC (BCM 57416)</t>
  </si>
  <si>
    <t>C-NIC-25G2A2-Q-CM</t>
  </si>
  <si>
    <t>Mellanox 25/10GbE, 2-port, NIC
(CX6 25GbE);transceiver not
included</t>
  </si>
  <si>
    <t>C-PWR-4FC13C14A-CM</t>
  </si>
  <si>
    <t>C13/C14, 10A, 4ft Power cord</t>
  </si>
  <si>
    <t>C-TPM-2.0-U-CM</t>
  </si>
  <si>
    <t>TPM 2.0 Module Unprovisioned</t>
  </si>
  <si>
    <t>NX-9151-G9-8562Y+-CM</t>
  </si>
  <si>
    <t>NX-9151-G9, 1 Node; 2x Intel
Xeon-Platinum 8562Y+ processor
(2.8 GHz/ 32-core/
300W,Emerald Rapids) per node</t>
  </si>
  <si>
    <t>C-MEM-64GB-5600-S-CM</t>
  </si>
  <si>
    <t>C-GPU-RTXP6KBSE-96G
B-CM</t>
  </si>
  <si>
    <t>NVIDIA RTX Pro 6000 Blackwell
Server Edition GPU (96GB)</t>
  </si>
  <si>
    <t>C-NIC-100G2A2-Q-CM</t>
  </si>
  <si>
    <t>Mellanox 100/40/25GbE, 2-port,
NIC (CX6 100GbE);transceiver
not included</t>
  </si>
  <si>
    <t>C-TPM-2.0-U-A-CM</t>
  </si>
  <si>
    <t>NX-3155-G9-6548Y+-CM</t>
  </si>
  <si>
    <t>NX-3155-G9, 1 Node; 2x Intel
Xeon-Gold 6548Y+ processor
(2.5 GHz/ 32-core/
250W,Emerald Rapids) per node</t>
  </si>
  <si>
    <t>26SG5Q080027
26SG5Q140001
26SG5Q140003</t>
  </si>
  <si>
    <t>BUILD IN</t>
  </si>
  <si>
    <t>26SG9B020004
26SG9B020005</t>
  </si>
  <si>
    <t>26SG5Q140002
26SG5Q140004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</si>
</sst>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#,##0.00\ [$AED];[Red]#,##0.00\ [$AED]"/>
    <numFmt numFmtId="166" formatCode="[$-409]d\-mmm\-yyyy;@"/>
    <numFmt numFmtId="167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 Light"/>
      <family val="1"/>
      <scheme val="major"/>
    </font>
    <font>
      <sz val="10"/>
      <name val="Verdana"/>
      <family val="2"/>
    </font>
    <font>
      <b/>
      <sz val="18"/>
      <name val="Arial Black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6262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Dashed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7" fillId="0" borderId="0" xfId="2" applyFont="1" applyAlignment="1">
      <alignment horizontal="left"/>
    </xf>
    <xf numFmtId="0" fontId="5" fillId="0" borderId="0" xfId="2" applyAlignment="1">
      <alignment horizontal="left"/>
    </xf>
    <xf numFmtId="0" fontId="7" fillId="0" borderId="0" xfId="0" applyFont="1" applyAlignment="1">
      <alignment horizontal="left"/>
    </xf>
    <xf numFmtId="0" fontId="5" fillId="0" borderId="0" xfId="2"/>
    <xf numFmtId="0" fontId="7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5" fillId="0" borderId="0" xfId="0" applyFont="1" applyAlignment="1">
      <alignment horizontal="center"/>
    </xf>
    <xf numFmtId="0" fontId="0" fillId="4" borderId="6" xfId="0" applyFill="1" applyBorder="1"/>
    <xf numFmtId="0" fontId="0" fillId="4" borderId="0" xfId="0" applyFill="1"/>
    <xf numFmtId="0" fontId="0" fillId="4" borderId="2" xfId="0" applyFill="1" applyBorder="1"/>
    <xf numFmtId="0" fontId="0" fillId="4" borderId="5" xfId="0" applyFill="1" applyBorder="1"/>
    <xf numFmtId="0" fontId="0" fillId="4" borderId="3" xfId="0" applyFill="1" applyBorder="1"/>
    <xf numFmtId="0" fontId="9" fillId="0" borderId="0" xfId="0" applyFont="1"/>
    <xf numFmtId="0" fontId="4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1" fontId="14" fillId="0" borderId="0" xfId="2" applyNumberFormat="1" applyFont="1" applyAlignment="1">
      <alignment horizontal="left"/>
    </xf>
    <xf numFmtId="164" fontId="16" fillId="5" borderId="1" xfId="1" applyNumberFormat="1" applyFont="1" applyFill="1" applyBorder="1" applyAlignment="1">
      <alignment horizontal="center" vertical="center"/>
    </xf>
    <xf numFmtId="166" fontId="14" fillId="0" borderId="2" xfId="0" applyNumberFormat="1" applyFont="1" applyBorder="1" applyAlignment="1">
      <alignment horizontal="center" vertical="center"/>
    </xf>
    <xf numFmtId="164" fontId="14" fillId="0" borderId="1" xfId="0" quotePrefix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5" fontId="13" fillId="0" borderId="1" xfId="0" quotePrefix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5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6" fillId="0" borderId="0" xfId="2" applyFont="1" applyAlignment="1">
      <alignment horizontal="left" vertical="center" wrapText="1"/>
    </xf>
    <xf numFmtId="167" fontId="11" fillId="0" borderId="0" xfId="0" applyNumberFormat="1" applyFont="1"/>
    <xf numFmtId="167" fontId="12" fillId="0" borderId="0" xfId="0" applyNumberFormat="1" applyFont="1"/>
    <xf numFmtId="0" fontId="13" fillId="0" borderId="0" xfId="0" applyFont="1" applyAlignment="1">
      <alignment horizontal="center" vertical="center" wrapText="1"/>
    </xf>
    <xf numFmtId="164" fontId="14" fillId="0" borderId="1" xfId="0" quotePrefix="1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6" fillId="0" borderId="0" xfId="2" applyFont="1" applyAlignment="1">
      <alignment horizontal="left"/>
    </xf>
    <xf numFmtId="0" fontId="17" fillId="0" borderId="0" xfId="0" applyFont="1" applyAlignment="1">
      <alignment vertical="center"/>
    </xf>
    <xf numFmtId="0" fontId="14" fillId="0" borderId="0" xfId="2" applyFont="1" applyAlignment="1">
      <alignment horizontal="left"/>
    </xf>
    <xf numFmtId="0" fontId="1" fillId="0" borderId="0" xfId="0" quotePrefix="1" applyFont="1" applyAlignment="1">
      <alignment vertical="center"/>
    </xf>
    <xf numFmtId="1" fontId="6" fillId="0" borderId="0" xfId="2" applyNumberFormat="1" applyFont="1" applyAlignment="1">
      <alignment horizontal="left"/>
    </xf>
    <xf numFmtId="165" fontId="13" fillId="0" borderId="1" xfId="0" quotePrefix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4" borderId="6" xfId="0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3">
    <cellStyle name="20% - Accent1 3" xfId="1" xr:uid="{00000000-0005-0000-0000-000000000000}"/>
    <cellStyle name="Normal" xfId="0" builtinId="0"/>
    <cellStyle name="Normal 8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2BE4.A1B35A2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472091</xdr:colOff>
      <xdr:row>0</xdr:row>
      <xdr:rowOff>29883</xdr:rowOff>
    </xdr:from>
    <xdr:to>
      <xdr:col>4</xdr:col>
      <xdr:colOff>2451651</xdr:colOff>
      <xdr:row>4</xdr:row>
      <xdr:rowOff>77226</xdr:rowOff>
    </xdr:to>
    <xdr:pic>
      <xdr:nvPicPr>
        <xdr:cNvPr id="2" name="Picture 57" descr="http://info.exclusive-networks.be/rs/774-OWF-438/images/networksemaillogo.png">
          <a:extLst>
            <a:ext uri="{FF2B5EF4-FFF2-40B4-BE49-F238E27FC236}">
              <a16:creationId xmlns:a16="http://schemas.microsoft.com/office/drawing/2014/main" id="{7EA86DCF-92B6-402B-B25D-CAFC5FE639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344"/>
        <a:stretch>
          <a:fillRect/>
        </a:stretch>
      </xdr:blipFill>
      <xdr:spPr bwMode="auto">
        <a:xfrm>
          <a:off x="4371738" y="29883"/>
          <a:ext cx="2607089" cy="7944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zoomScaleNormal="100" workbookViewId="0">
      <selection activeCell="H13" sqref="H13"/>
    </sheetView>
  </sheetViews>
  <sheetFormatPr defaultRowHeight="15" x14ac:dyDescent="0.25"/>
  <cols>
    <col min="1" max="1" width="10.42578125" customWidth="1"/>
    <col min="2" max="2" width="26.5703125" customWidth="1"/>
    <col min="3" max="3" width="45.140625" customWidth="1"/>
    <col min="4" max="4" width="11.5703125" customWidth="1"/>
    <col min="5" max="5" width="44.28515625" customWidth="1"/>
    <col min="6" max="6" width="11.28515625" customWidth="1"/>
    <col min="7" max="7" width="12.28515625" customWidth="1"/>
    <col min="9" max="9" width="24.85546875" customWidth="1"/>
  </cols>
  <sheetData>
    <row r="1" spans="1:5" x14ac:dyDescent="0.25">
      <c r="A1" s="54" t="s">
        <v>15</v>
      </c>
      <c r="B1" s="54"/>
      <c r="C1" s="54"/>
    </row>
    <row r="2" spans="1:5" x14ac:dyDescent="0.25">
      <c r="A2" s="52" t="s">
        <v>16</v>
      </c>
      <c r="B2" s="52"/>
      <c r="C2" s="52"/>
      <c r="D2" s="1"/>
    </row>
    <row r="3" spans="1:5" x14ac:dyDescent="0.25">
      <c r="A3" s="52" t="s">
        <v>17</v>
      </c>
      <c r="B3" s="52"/>
      <c r="C3" s="52"/>
      <c r="D3" s="1"/>
    </row>
    <row r="4" spans="1:5" x14ac:dyDescent="0.25">
      <c r="A4" s="52" t="s">
        <v>18</v>
      </c>
      <c r="B4" s="52"/>
      <c r="C4" s="52"/>
      <c r="D4" s="1"/>
    </row>
    <row r="5" spans="1:5" x14ac:dyDescent="0.25">
      <c r="A5" s="52" t="s">
        <v>19</v>
      </c>
      <c r="B5" s="52"/>
      <c r="C5" s="52"/>
      <c r="D5" s="1"/>
    </row>
    <row r="6" spans="1:5" x14ac:dyDescent="0.25">
      <c r="A6" s="52" t="s">
        <v>20</v>
      </c>
      <c r="B6" s="52"/>
      <c r="C6" s="52"/>
      <c r="D6" s="1"/>
    </row>
    <row r="7" spans="1:5" x14ac:dyDescent="0.25">
      <c r="A7" s="2" t="s">
        <v>21</v>
      </c>
      <c r="B7" s="2"/>
      <c r="C7" s="2"/>
      <c r="D7" s="1"/>
    </row>
    <row r="8" spans="1:5" x14ac:dyDescent="0.25">
      <c r="A8" s="52"/>
      <c r="B8" s="52"/>
      <c r="C8" s="3"/>
      <c r="D8" s="4"/>
    </row>
    <row r="9" spans="1:5" x14ac:dyDescent="0.25">
      <c r="A9" s="52"/>
      <c r="B9" s="52"/>
      <c r="D9" s="4"/>
    </row>
    <row r="10" spans="1:5" ht="27" x14ac:dyDescent="0.5">
      <c r="A10" s="53" t="s">
        <v>0</v>
      </c>
      <c r="B10" s="53"/>
      <c r="C10" s="53"/>
      <c r="D10" s="53"/>
      <c r="E10" s="53"/>
    </row>
    <row r="12" spans="1:5" ht="27" x14ac:dyDescent="0.5">
      <c r="A12" s="32" t="s">
        <v>2</v>
      </c>
      <c r="B12" s="35" t="s">
        <v>34</v>
      </c>
      <c r="C12" s="42"/>
      <c r="D12" s="19"/>
      <c r="E12" s="23" t="s">
        <v>1</v>
      </c>
    </row>
    <row r="13" spans="1:5" ht="21.75" customHeight="1" x14ac:dyDescent="0.5">
      <c r="A13" s="36" t="s">
        <v>25</v>
      </c>
      <c r="B13" s="43" t="s">
        <v>31</v>
      </c>
      <c r="C13" s="42"/>
      <c r="D13" s="19"/>
      <c r="E13" s="24">
        <f ca="1">TODAY()</f>
        <v>46139</v>
      </c>
    </row>
    <row r="14" spans="1:5" ht="15.75" x14ac:dyDescent="0.25">
      <c r="A14" s="33"/>
      <c r="B14" s="44" t="s">
        <v>32</v>
      </c>
      <c r="C14" s="44"/>
      <c r="D14" s="1"/>
      <c r="E14" s="23" t="s">
        <v>27</v>
      </c>
    </row>
    <row r="15" spans="1:5" ht="15.75" x14ac:dyDescent="0.25">
      <c r="A15" s="33"/>
      <c r="B15" s="44" t="s">
        <v>33</v>
      </c>
      <c r="D15" s="5"/>
      <c r="E15" s="25" t="s">
        <v>35</v>
      </c>
    </row>
    <row r="16" spans="1:5" ht="15.75" x14ac:dyDescent="0.25">
      <c r="A16" s="31"/>
      <c r="B16" s="44"/>
      <c r="C16" s="42"/>
      <c r="D16" s="6"/>
      <c r="E16" s="23" t="s">
        <v>28</v>
      </c>
    </row>
    <row r="17" spans="1:7" ht="15.75" x14ac:dyDescent="0.25">
      <c r="A17" s="31"/>
      <c r="B17" s="44"/>
      <c r="C17" s="42"/>
      <c r="D17" s="6"/>
      <c r="E17" s="25" t="s">
        <v>36</v>
      </c>
    </row>
    <row r="18" spans="1:7" ht="15.75" x14ac:dyDescent="0.25">
      <c r="A18" s="22"/>
      <c r="B18" s="22"/>
      <c r="C18" s="42"/>
      <c r="D18" s="6"/>
      <c r="E18" s="23" t="s">
        <v>26</v>
      </c>
    </row>
    <row r="19" spans="1:7" ht="15.75" x14ac:dyDescent="0.25">
      <c r="A19" s="34" t="s">
        <v>3</v>
      </c>
      <c r="B19" s="35" t="s">
        <v>29</v>
      </c>
      <c r="C19" s="42"/>
      <c r="D19" s="8"/>
      <c r="E19" s="40" t="s">
        <v>37</v>
      </c>
    </row>
    <row r="20" spans="1:7" ht="15.75" x14ac:dyDescent="0.25">
      <c r="A20" s="35" t="s">
        <v>4</v>
      </c>
      <c r="B20" s="45" t="s">
        <v>30</v>
      </c>
      <c r="C20" s="46"/>
      <c r="D20" s="8"/>
    </row>
    <row r="21" spans="1:7" x14ac:dyDescent="0.25">
      <c r="A21" s="9"/>
      <c r="B21" s="9"/>
      <c r="C21" s="9"/>
      <c r="D21" s="9"/>
      <c r="E21" s="9"/>
    </row>
    <row r="22" spans="1:7" s="18" customFormat="1" ht="22.5" customHeight="1" x14ac:dyDescent="0.2">
      <c r="A22" s="30" t="s">
        <v>13</v>
      </c>
      <c r="B22" s="30" t="s">
        <v>14</v>
      </c>
      <c r="C22" s="30" t="s">
        <v>5</v>
      </c>
      <c r="D22" s="30" t="s">
        <v>6</v>
      </c>
      <c r="E22" s="30" t="s">
        <v>7</v>
      </c>
      <c r="F22" s="39"/>
      <c r="G22" s="39"/>
    </row>
    <row r="23" spans="1:7" s="20" customFormat="1" ht="63" x14ac:dyDescent="0.2">
      <c r="A23" s="41"/>
      <c r="B23" s="41" t="s">
        <v>38</v>
      </c>
      <c r="C23" s="27" t="s">
        <v>39</v>
      </c>
      <c r="D23" s="41">
        <v>3</v>
      </c>
      <c r="E23" s="47" t="s">
        <v>62</v>
      </c>
      <c r="F23" s="37"/>
      <c r="G23" s="37"/>
    </row>
    <row r="24" spans="1:7" s="20" customFormat="1" ht="48" customHeight="1" x14ac:dyDescent="0.2">
      <c r="A24" s="41"/>
      <c r="B24" s="41" t="s">
        <v>40</v>
      </c>
      <c r="C24" s="27" t="s">
        <v>41</v>
      </c>
      <c r="D24" s="41">
        <v>36</v>
      </c>
      <c r="E24" s="47" t="s">
        <v>63</v>
      </c>
      <c r="F24" s="37"/>
      <c r="G24" s="37"/>
    </row>
    <row r="25" spans="1:7" s="20" customFormat="1" ht="15.75" x14ac:dyDescent="0.2">
      <c r="A25" s="41"/>
      <c r="B25" s="41" t="s">
        <v>42</v>
      </c>
      <c r="C25" s="27" t="s">
        <v>43</v>
      </c>
      <c r="D25" s="41">
        <v>12</v>
      </c>
      <c r="E25" s="47" t="s">
        <v>63</v>
      </c>
      <c r="F25" s="37"/>
      <c r="G25" s="37"/>
    </row>
    <row r="26" spans="1:7" s="20" customFormat="1" ht="31.5" x14ac:dyDescent="0.2">
      <c r="A26" s="41"/>
      <c r="B26" s="41" t="s">
        <v>44</v>
      </c>
      <c r="C26" s="27" t="s">
        <v>45</v>
      </c>
      <c r="D26" s="41">
        <v>3</v>
      </c>
      <c r="E26" s="47" t="s">
        <v>63</v>
      </c>
      <c r="F26" s="37"/>
      <c r="G26" s="37"/>
    </row>
    <row r="27" spans="1:7" s="20" customFormat="1" ht="47.25" x14ac:dyDescent="0.2">
      <c r="A27" s="41"/>
      <c r="B27" s="41" t="s">
        <v>46</v>
      </c>
      <c r="C27" s="27" t="s">
        <v>47</v>
      </c>
      <c r="D27" s="41">
        <v>6</v>
      </c>
      <c r="E27" s="47" t="s">
        <v>63</v>
      </c>
      <c r="F27" s="37"/>
      <c r="G27" s="37"/>
    </row>
    <row r="28" spans="1:7" s="20" customFormat="1" ht="15.75" x14ac:dyDescent="0.2">
      <c r="A28" s="41"/>
      <c r="B28" s="41" t="s">
        <v>48</v>
      </c>
      <c r="C28" s="27" t="s">
        <v>49</v>
      </c>
      <c r="D28" s="41">
        <v>6</v>
      </c>
      <c r="E28" s="47" t="s">
        <v>63</v>
      </c>
      <c r="F28" s="37"/>
      <c r="G28" s="37"/>
    </row>
    <row r="29" spans="1:7" s="20" customFormat="1" ht="15.75" x14ac:dyDescent="0.2">
      <c r="A29" s="41"/>
      <c r="B29" s="41" t="s">
        <v>50</v>
      </c>
      <c r="C29" s="27" t="s">
        <v>51</v>
      </c>
      <c r="D29" s="41"/>
      <c r="E29" s="47" t="s">
        <v>63</v>
      </c>
      <c r="F29" s="37"/>
      <c r="G29" s="37"/>
    </row>
    <row r="30" spans="1:7" s="20" customFormat="1" ht="63" x14ac:dyDescent="0.2">
      <c r="A30" s="41"/>
      <c r="B30" s="41" t="s">
        <v>52</v>
      </c>
      <c r="C30" s="27" t="s">
        <v>53</v>
      </c>
      <c r="D30" s="41">
        <v>2</v>
      </c>
      <c r="E30" s="47" t="s">
        <v>64</v>
      </c>
      <c r="F30" s="37"/>
      <c r="G30" s="37"/>
    </row>
    <row r="31" spans="1:7" s="20" customFormat="1" ht="15.75" x14ac:dyDescent="0.2">
      <c r="A31" s="41"/>
      <c r="B31" s="41" t="s">
        <v>54</v>
      </c>
      <c r="C31" s="27" t="s">
        <v>41</v>
      </c>
      <c r="D31" s="41">
        <v>32</v>
      </c>
      <c r="E31" s="47" t="s">
        <v>63</v>
      </c>
      <c r="F31" s="37"/>
      <c r="G31" s="37"/>
    </row>
    <row r="32" spans="1:7" s="20" customFormat="1" ht="31.5" x14ac:dyDescent="0.2">
      <c r="A32" s="41"/>
      <c r="B32" s="27" t="s">
        <v>55</v>
      </c>
      <c r="C32" s="27" t="s">
        <v>56</v>
      </c>
      <c r="D32" s="41">
        <v>4</v>
      </c>
      <c r="E32" s="47" t="s">
        <v>63</v>
      </c>
      <c r="F32" s="37"/>
      <c r="G32" s="37"/>
    </row>
    <row r="33" spans="1:7" s="20" customFormat="1" ht="47.25" x14ac:dyDescent="0.2">
      <c r="A33" s="41"/>
      <c r="B33" s="41" t="s">
        <v>57</v>
      </c>
      <c r="C33" s="27" t="s">
        <v>58</v>
      </c>
      <c r="D33" s="41">
        <v>4</v>
      </c>
      <c r="E33" s="47" t="s">
        <v>63</v>
      </c>
      <c r="F33" s="37"/>
      <c r="G33" s="37"/>
    </row>
    <row r="34" spans="1:7" s="20" customFormat="1" ht="15.75" x14ac:dyDescent="0.2">
      <c r="A34" s="41"/>
      <c r="B34" s="41" t="s">
        <v>48</v>
      </c>
      <c r="C34" s="27" t="s">
        <v>49</v>
      </c>
      <c r="D34" s="41">
        <v>6</v>
      </c>
      <c r="E34" s="47" t="s">
        <v>63</v>
      </c>
      <c r="F34" s="37"/>
      <c r="G34" s="37"/>
    </row>
    <row r="35" spans="1:7" s="20" customFormat="1" ht="15.75" x14ac:dyDescent="0.2">
      <c r="A35" s="41"/>
      <c r="B35" s="41" t="s">
        <v>59</v>
      </c>
      <c r="C35" s="27" t="s">
        <v>51</v>
      </c>
      <c r="D35" s="41">
        <v>2</v>
      </c>
      <c r="E35" s="47" t="s">
        <v>63</v>
      </c>
      <c r="F35" s="37"/>
      <c r="G35" s="37"/>
    </row>
    <row r="36" spans="1:7" s="20" customFormat="1" ht="63" x14ac:dyDescent="0.2">
      <c r="A36" s="41"/>
      <c r="B36" s="41" t="s">
        <v>60</v>
      </c>
      <c r="C36" s="27" t="s">
        <v>61</v>
      </c>
      <c r="D36" s="41">
        <v>2</v>
      </c>
      <c r="E36" s="47" t="s">
        <v>65</v>
      </c>
      <c r="F36" s="37"/>
      <c r="G36" s="37"/>
    </row>
    <row r="37" spans="1:7" s="20" customFormat="1" ht="15.75" x14ac:dyDescent="0.2">
      <c r="A37" s="41"/>
      <c r="B37" s="41" t="s">
        <v>40</v>
      </c>
      <c r="C37" s="27" t="s">
        <v>41</v>
      </c>
      <c r="D37" s="41">
        <v>32</v>
      </c>
      <c r="E37" s="47" t="s">
        <v>63</v>
      </c>
      <c r="F37" s="37"/>
      <c r="G37" s="37"/>
    </row>
    <row r="38" spans="1:7" s="20" customFormat="1" ht="15.75" x14ac:dyDescent="0.2">
      <c r="A38" s="41"/>
      <c r="B38" s="41" t="s">
        <v>42</v>
      </c>
      <c r="C38" s="27" t="s">
        <v>43</v>
      </c>
      <c r="D38" s="41">
        <v>12</v>
      </c>
      <c r="E38" s="47" t="s">
        <v>63</v>
      </c>
      <c r="F38" s="37"/>
      <c r="G38" s="37"/>
    </row>
    <row r="39" spans="1:7" s="20" customFormat="1" ht="31.5" x14ac:dyDescent="0.2">
      <c r="A39" s="41"/>
      <c r="B39" s="41" t="s">
        <v>44</v>
      </c>
      <c r="C39" s="27" t="s">
        <v>45</v>
      </c>
      <c r="D39" s="41">
        <v>2</v>
      </c>
      <c r="E39" s="47" t="s">
        <v>63</v>
      </c>
      <c r="F39" s="37"/>
      <c r="G39" s="37"/>
    </row>
    <row r="40" spans="1:7" s="20" customFormat="1" ht="47.25" x14ac:dyDescent="0.2">
      <c r="A40" s="41"/>
      <c r="B40" s="41" t="s">
        <v>46</v>
      </c>
      <c r="C40" s="27" t="s">
        <v>47</v>
      </c>
      <c r="D40" s="41">
        <v>4</v>
      </c>
      <c r="E40" s="47" t="s">
        <v>63</v>
      </c>
      <c r="F40" s="37"/>
      <c r="G40" s="37"/>
    </row>
    <row r="41" spans="1:7" s="20" customFormat="1" ht="15.75" x14ac:dyDescent="0.2">
      <c r="A41" s="41"/>
      <c r="B41" s="41" t="s">
        <v>48</v>
      </c>
      <c r="C41" s="27" t="s">
        <v>49</v>
      </c>
      <c r="D41" s="41">
        <v>4</v>
      </c>
      <c r="E41" s="47" t="s">
        <v>63</v>
      </c>
      <c r="F41" s="37"/>
      <c r="G41" s="37"/>
    </row>
    <row r="42" spans="1:7" s="20" customFormat="1" ht="15.75" x14ac:dyDescent="0.2">
      <c r="A42" s="41"/>
      <c r="B42" s="41"/>
      <c r="C42" s="27" t="s">
        <v>24</v>
      </c>
      <c r="D42" s="41"/>
      <c r="E42" s="28"/>
      <c r="F42" s="37"/>
      <c r="G42" s="37"/>
    </row>
    <row r="43" spans="1:7" s="21" customFormat="1" ht="15" customHeight="1" x14ac:dyDescent="0.25">
      <c r="A43" s="29"/>
      <c r="B43" s="29"/>
      <c r="C43" s="26" t="s">
        <v>23</v>
      </c>
      <c r="D43" s="29">
        <f>SUM(D30:D42)</f>
        <v>106</v>
      </c>
      <c r="E43" s="28"/>
      <c r="F43" s="38"/>
      <c r="G43" s="38"/>
    </row>
    <row r="44" spans="1:7" ht="15.75" thickBot="1" x14ac:dyDescent="0.3">
      <c r="A44" s="10"/>
      <c r="B44" s="11"/>
      <c r="C44" s="11"/>
      <c r="D44" s="10"/>
      <c r="E44" s="11"/>
    </row>
    <row r="45" spans="1:7" ht="15.75" thickBot="1" x14ac:dyDescent="0.3">
      <c r="A45" s="1"/>
      <c r="D45" s="1"/>
    </row>
    <row r="46" spans="1:7" x14ac:dyDescent="0.25">
      <c r="A46" s="51" t="s">
        <v>22</v>
      </c>
      <c r="B46" s="51"/>
      <c r="C46" s="51"/>
      <c r="D46" s="51"/>
      <c r="E46" s="51"/>
    </row>
    <row r="47" spans="1:7" x14ac:dyDescent="0.25">
      <c r="A47" s="1"/>
      <c r="D47" s="1"/>
    </row>
    <row r="48" spans="1:7" x14ac:dyDescent="0.25">
      <c r="A48" s="7" t="s">
        <v>8</v>
      </c>
      <c r="D48" s="1"/>
    </row>
    <row r="49" spans="1:5" x14ac:dyDescent="0.25">
      <c r="A49" s="1"/>
      <c r="D49" s="1"/>
      <c r="E49" s="15"/>
    </row>
    <row r="50" spans="1:5" x14ac:dyDescent="0.25">
      <c r="A50" s="1"/>
      <c r="D50" s="1"/>
      <c r="E50" s="16"/>
    </row>
    <row r="51" spans="1:5" x14ac:dyDescent="0.25">
      <c r="A51" s="12" t="s">
        <v>9</v>
      </c>
      <c r="B51" s="50"/>
      <c r="C51" s="50"/>
      <c r="D51" s="1"/>
      <c r="E51" s="16"/>
    </row>
    <row r="52" spans="1:5" ht="26.25" customHeight="1" x14ac:dyDescent="0.25">
      <c r="A52" s="1"/>
      <c r="D52" s="1"/>
      <c r="E52" s="16"/>
    </row>
    <row r="53" spans="1:5" x14ac:dyDescent="0.25">
      <c r="A53" s="12" t="s">
        <v>10</v>
      </c>
      <c r="B53" s="49"/>
      <c r="C53" s="49"/>
      <c r="D53" s="1"/>
      <c r="E53" s="16"/>
    </row>
    <row r="54" spans="1:5" x14ac:dyDescent="0.25">
      <c r="A54" s="1"/>
      <c r="D54" s="1"/>
      <c r="E54" s="16"/>
    </row>
    <row r="55" spans="1:5" x14ac:dyDescent="0.25">
      <c r="A55" s="1"/>
      <c r="B55" s="14"/>
      <c r="C55" s="14"/>
      <c r="D55" s="1"/>
      <c r="E55" s="17"/>
    </row>
    <row r="56" spans="1:5" x14ac:dyDescent="0.25">
      <c r="A56" s="12" t="s">
        <v>11</v>
      </c>
      <c r="B56" s="14"/>
      <c r="C56" s="14"/>
      <c r="D56" s="1"/>
    </row>
    <row r="57" spans="1:5" x14ac:dyDescent="0.25">
      <c r="A57" s="1"/>
      <c r="B57" s="14"/>
      <c r="C57" s="14"/>
      <c r="D57" s="48" t="s">
        <v>12</v>
      </c>
      <c r="E57" s="48"/>
    </row>
    <row r="58" spans="1:5" x14ac:dyDescent="0.25">
      <c r="A58" s="1"/>
      <c r="B58" s="14"/>
      <c r="C58" s="14"/>
      <c r="D58" s="1"/>
    </row>
    <row r="59" spans="1:5" x14ac:dyDescent="0.25">
      <c r="A59" s="1"/>
      <c r="B59" s="14"/>
      <c r="C59" s="14"/>
      <c r="D59" s="1"/>
    </row>
    <row r="60" spans="1:5" x14ac:dyDescent="0.25">
      <c r="A60" s="1"/>
      <c r="B60" s="13"/>
      <c r="C60" s="13"/>
      <c r="D60" s="1"/>
    </row>
    <row r="61" spans="1:5" ht="15.75" thickBot="1" x14ac:dyDescent="0.3">
      <c r="A61" s="10"/>
      <c r="B61" s="11"/>
      <c r="C61" s="11"/>
      <c r="D61" s="10"/>
      <c r="E61" s="11"/>
    </row>
    <row r="62" spans="1:5" x14ac:dyDescent="0.25">
      <c r="A62" s="1"/>
      <c r="D62" s="1"/>
    </row>
    <row r="63" spans="1:5" x14ac:dyDescent="0.25">
      <c r="A63" s="1"/>
      <c r="D63" s="1"/>
    </row>
  </sheetData>
  <protectedRanges>
    <protectedRange sqref="B42:B43" name="Range1" securityDescriptor="O:WDG:WDD:(A;;CC;;;S-1-5-21-2499057871-2265341975-2784642071-6890)(A;;CC;;;S-1-5-21-2499057871-2265341975-2784642071-16795)(A;;CC;;;S-1-5-21-2499057871-2265341975-2784642071-6129)(A;;CC;;;S-1-5-21-2499057871-2265341975-2784642071-6117)"/>
  </protectedRanges>
  <mergeCells count="13">
    <mergeCell ref="A1:C1"/>
    <mergeCell ref="A6:C6"/>
    <mergeCell ref="A4:C4"/>
    <mergeCell ref="A2:C2"/>
    <mergeCell ref="A3:C3"/>
    <mergeCell ref="A5:C5"/>
    <mergeCell ref="D57:E57"/>
    <mergeCell ref="B53:C53"/>
    <mergeCell ref="B51:C51"/>
    <mergeCell ref="A46:E46"/>
    <mergeCell ref="A8:B8"/>
    <mergeCell ref="A9:B9"/>
    <mergeCell ref="A10:E10"/>
  </mergeCells>
  <printOptions horizontalCentered="1"/>
  <pageMargins left="0.25" right="0.25" top="0.5" bottom="0.5" header="0.3" footer="0.3"/>
  <pageSetup paperSize="9" scale="75" orientation="portrait" r:id="rId1"/>
  <drawing r:id="rId2"/>
</worksheet>
</file>

<file path=docMetadata/LabelInfo.xml><?xml version="1.0" encoding="utf-8"?>
<clbl:labelList xmlns:clbl="http://schemas.microsoft.com/office/2020/mipLabelMetadata">
  <clbl:label id="{cc948c2c-9a24-4150-ba3c-6e219c6b460c}" enabled="1" method="Standard" siteId="{00d042cc-bebc-4deb-b00d-1f3c8f1dc6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2026-04-27T07:13:25Z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948c2c-9a24-4150-ba3c-6e219c6b460c_Enabled">
    <vt:lpwstr>true</vt:lpwstr>
  </property>
  <property fmtid="{D5CDD505-2E9C-101B-9397-08002B2CF9AE}" pid="3" name="MSIP_Label_cc948c2c-9a24-4150-ba3c-6e219c6b460c_SetDate">
    <vt:lpwstr>2023-11-13T05:53:29Z</vt:lpwstr>
  </property>
  <property fmtid="{D5CDD505-2E9C-101B-9397-08002B2CF9AE}" pid="4" name="MSIP_Label_cc948c2c-9a24-4150-ba3c-6e219c6b460c_Method">
    <vt:lpwstr>Standard</vt:lpwstr>
  </property>
  <property fmtid="{D5CDD505-2E9C-101B-9397-08002B2CF9AE}" pid="5" name="MSIP_Label_cc948c2c-9a24-4150-ba3c-6e219c6b460c_Name">
    <vt:lpwstr>Internal</vt:lpwstr>
  </property>
  <property fmtid="{D5CDD505-2E9C-101B-9397-08002B2CF9AE}" pid="6" name="MSIP_Label_cc948c2c-9a24-4150-ba3c-6e219c6b460c_SiteId">
    <vt:lpwstr>00d042cc-bebc-4deb-b00d-1f3c8f1dc662</vt:lpwstr>
  </property>
  <property fmtid="{D5CDD505-2E9C-101B-9397-08002B2CF9AE}" pid="7" name="MSIP_Label_cc948c2c-9a24-4150-ba3c-6e219c6b460c_ActionId">
    <vt:lpwstr>7c17db6f-0ff2-4c9e-951e-7f92fb9521ca</vt:lpwstr>
  </property>
  <property fmtid="{D5CDD505-2E9C-101B-9397-08002B2CF9AE}" pid="8" name="MSIP_Label_cc948c2c-9a24-4150-ba3c-6e219c6b460c_ContentBits">
    <vt:lpwstr>0</vt:lpwstr>
  </property>
</Properties>
</file>